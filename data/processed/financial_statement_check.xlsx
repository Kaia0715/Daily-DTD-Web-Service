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戴天予\Desktop\AIDF\data\processed\"/>
    </mc:Choice>
  </mc:AlternateContent>
  <xr:revisionPtr revIDLastSave="0" documentId="13_ncr:1_{7633D596-5FE2-4DC0-85DB-558F04EC3CDA}" xr6:coauthVersionLast="47" xr6:coauthVersionMax="47" xr10:uidLastSave="{00000000-0000-0000-0000-000000000000}"/>
  <bookViews>
    <workbookView xWindow="-110" yWindow="-110" windowWidth="22780" windowHeight="14660" activeTab="1" xr2:uid="{6B0D5DAA-9E1D-4412-929C-A89FDDFE2069}"/>
  </bookViews>
  <sheets>
    <sheet name="finantial_statement_check" sheetId="1" r:id="rId1"/>
    <sheet name="credit even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" l="1"/>
  <c r="D23" i="1"/>
  <c r="E23" i="1"/>
  <c r="D24" i="1"/>
  <c r="E24" i="1"/>
  <c r="F24" i="1"/>
  <c r="C23" i="1"/>
  <c r="C24" i="1"/>
  <c r="C18" i="1"/>
  <c r="D18" i="1"/>
  <c r="E18" i="1"/>
  <c r="F18" i="1"/>
  <c r="C19" i="1"/>
  <c r="D19" i="1"/>
  <c r="E19" i="1"/>
  <c r="F19" i="1"/>
  <c r="C20" i="1"/>
  <c r="D20" i="1"/>
  <c r="E20" i="1"/>
  <c r="F20" i="1"/>
  <c r="D17" i="1"/>
  <c r="E17" i="1"/>
  <c r="F17" i="1"/>
  <c r="C17" i="1"/>
</calcChain>
</file>

<file path=xl/sharedStrings.xml><?xml version="1.0" encoding="utf-8"?>
<sst xmlns="http://schemas.openxmlformats.org/spreadsheetml/2006/main" count="88" uniqueCount="80">
  <si>
    <t>Comp_no</t>
  </si>
  <si>
    <t>Available_Date</t>
  </si>
  <si>
    <t>BS_CUR_LIAB(HKD)</t>
  </si>
  <si>
    <t>BS_LT_BORROW(HKD)</t>
  </si>
  <si>
    <t>BS_TOT_LIAB2(HKD)</t>
  </si>
  <si>
    <t>BS_TOT_ASSET(HKD)</t>
  </si>
  <si>
    <t>original CNY</t>
    <phoneticPr fontId="1" type="noConversion"/>
  </si>
  <si>
    <t>convert to HKD</t>
    <phoneticPr fontId="1" type="noConversion"/>
  </si>
  <si>
    <t>fx(next day of report period)</t>
    <phoneticPr fontId="1" type="noConversion"/>
  </si>
  <si>
    <t>Date</t>
  </si>
  <si>
    <t>Credit-relevant event</t>
  </si>
  <si>
    <t>Credit interpretation</t>
  </si>
  <si>
    <t>DTD around event</t>
  </si>
  <si>
    <t>Signal vs reality</t>
  </si>
  <si>
    <t>FY2023 results released</t>
  </si>
  <si>
    <t>Operating environment remained difficult; a useful fundamental-information reset</t>
  </si>
  <si>
    <t>21 Jun / 5 Jul 2024</t>
  </si>
  <si>
    <t>Greentown announced bond/note repurchases</t>
  </si>
  <si>
    <t>Positive for refinancing/liquidity risk</t>
  </si>
  <si>
    <t>1H24 results released; Greentown later highlighted record-high revenue and stable profit</t>
  </si>
  <si>
    <t>Mixed-to-positive fundamentals despite sector stress</t>
  </si>
  <si>
    <r>
      <t xml:space="preserve">Greentown issued </t>
    </r>
    <r>
      <rPr>
        <b/>
        <sz val="11"/>
        <color theme="1"/>
        <rFont val="等线"/>
        <family val="3"/>
        <charset val="134"/>
        <scheme val="minor"/>
      </rPr>
      <t>US$500m 8.45% notes due 2028</t>
    </r>
    <r>
      <rPr>
        <sz val="11"/>
        <color theme="1"/>
        <rFont val="等线"/>
        <family val="2"/>
        <charset val="134"/>
        <scheme val="minor"/>
      </rPr>
      <t xml:space="preserve"> and used a tender offer to address Apr/Jul 2025 notes</t>
    </r>
  </si>
  <si>
    <t>Strong evidence of market access and reduced near-term refinancing risk, although 8.45% is a relatively expensive funding cost</t>
  </si>
  <si>
    <t>24–27 Mar 2025</t>
  </si>
  <si>
    <t>Trading halt followed by chairman/board changes and resumption</t>
  </si>
  <si>
    <t>Governance uncertainty; potentially negative, but not itself evidence of financial distress</t>
  </si>
  <si>
    <t>8–22 Aug 2025</t>
  </si>
  <si>
    <r>
      <t xml:space="preserve">Profit warning followed by 1H25 results: attributable profit only ~RMB210m; nevertheless cash was ~RMB66.8bn, </t>
    </r>
    <r>
      <rPr>
        <b/>
        <sz val="11"/>
        <color theme="1"/>
        <rFont val="等线"/>
        <family val="3"/>
        <charset val="134"/>
        <scheme val="minor"/>
      </rPr>
      <t>2.9×</t>
    </r>
    <r>
      <rPr>
        <sz val="11"/>
        <color theme="1"/>
        <rFont val="等线"/>
        <family val="2"/>
        <charset val="134"/>
        <scheme val="minor"/>
      </rPr>
      <t xml:space="preserve"> borrowings due within one year</t>
    </r>
  </si>
  <si>
    <t>Earnings deterioration but comparatively strong liquidity</t>
  </si>
  <si>
    <t>Morgan Stanley downgraded Greentown equity to Underweight, citing slower earnings recovery and weaker sales/margins</t>
  </si>
  <si>
    <t>Negative external assessment of operating outlook</t>
  </si>
  <si>
    <t>Profit warning ahead of FY2025 results</t>
  </si>
  <si>
    <t>Significant earnings deterioration</t>
  </si>
  <si>
    <r>
      <t xml:space="preserve">FY2025 results: revenue RMB155.0bn; attributable profit fell from RMB1.60bn in 2024 to only </t>
    </r>
    <r>
      <rPr>
        <b/>
        <sz val="11"/>
        <color theme="1"/>
        <rFont val="等线"/>
        <family val="3"/>
        <charset val="134"/>
        <scheme val="minor"/>
      </rPr>
      <t>RMB71m</t>
    </r>
    <r>
      <rPr>
        <sz val="11"/>
        <color theme="1"/>
        <rFont val="等线"/>
        <family val="2"/>
        <charset val="134"/>
        <scheme val="minor"/>
      </rPr>
      <t xml:space="preserve"> in 2025</t>
    </r>
  </si>
  <si>
    <t>Material profitability deterioration</t>
  </si>
  <si>
    <r>
      <t xml:space="preserve">Issued </t>
    </r>
    <r>
      <rPr>
        <b/>
        <sz val="11"/>
        <color theme="1"/>
        <rFont val="等线"/>
        <family val="3"/>
        <charset val="134"/>
        <scheme val="minor"/>
      </rPr>
      <t>US$300m 7.0% senior notes due 2029</t>
    </r>
  </si>
  <si>
    <t>Positive refinancing/access-to-capital signal</t>
  </si>
  <si>
    <t>Profit warning for 1H26</t>
  </si>
  <si>
    <t>Further deterioration: lower property sales/revenue and impairments; expected attributable profit RMB50–100m</t>
  </si>
  <si>
    <r>
      <t xml:space="preserve">1H26 results: revenue </t>
    </r>
    <r>
      <rPr>
        <b/>
        <sz val="11"/>
        <color theme="1"/>
        <rFont val="等线"/>
        <family val="3"/>
        <charset val="134"/>
        <scheme val="minor"/>
      </rPr>
      <t>RMB39.5bn</t>
    </r>
    <r>
      <rPr>
        <sz val="11"/>
        <color theme="1"/>
        <rFont val="等线"/>
        <family val="2"/>
        <charset val="134"/>
        <scheme val="minor"/>
      </rPr>
      <t xml:space="preserve">, attributable profit </t>
    </r>
    <r>
      <rPr>
        <b/>
        <sz val="11"/>
        <color theme="1"/>
        <rFont val="等线"/>
        <family val="3"/>
        <charset val="134"/>
        <scheme val="minor"/>
      </rPr>
      <t>RMB82m</t>
    </r>
  </si>
  <si>
    <t>Confirms weak earnings</t>
  </si>
  <si>
    <t>Source</t>
  </si>
  <si>
    <r>
      <t>Greentown China, FY2023 Annual Results, 22 Mar 2024</t>
    </r>
    <r>
      <rPr>
        <u/>
        <sz val="11"/>
        <color theme="10"/>
        <rFont val="等线"/>
        <family val="3"/>
        <charset val="134"/>
        <scheme val="minor"/>
      </rPr>
      <t xml:space="preserve"> (Greentown announcements)</t>
    </r>
  </si>
  <si>
    <r>
      <t>Greentown China / HKEX, bond and note repurchase announcements, Jun–Jul 2024</t>
    </r>
    <r>
      <rPr>
        <sz val="11"/>
        <color theme="1"/>
        <rFont val="等线"/>
        <family val="2"/>
        <charset val="134"/>
        <scheme val="minor"/>
      </rPr>
      <t xml:space="preserve"> (Greentown announcements; HKEX, 5 Jul 2024)</t>
    </r>
  </si>
  <si>
    <r>
      <t>Greentown China, 2024 Interim Results, 23 Aug 2024</t>
    </r>
    <r>
      <rPr>
        <u/>
        <sz val="11"/>
        <color theme="10"/>
        <rFont val="等线"/>
        <family val="3"/>
        <charset val="134"/>
        <scheme val="minor"/>
      </rPr>
      <t xml:space="preserve"> (Greentown announcements)</t>
    </r>
  </si>
  <si>
    <r>
      <t>Greentown China / HKEX, senior notes and tender-offer announcements, Feb 2025</t>
    </r>
    <r>
      <rPr>
        <u/>
        <sz val="11"/>
        <color theme="10"/>
        <rFont val="等线"/>
        <family val="3"/>
        <charset val="134"/>
        <scheme val="minor"/>
      </rPr>
      <t xml:space="preserve"> (HKEX filing, 25 Feb 2025)</t>
    </r>
  </si>
  <si>
    <r>
      <t>Greentown China / HKEX, trading halt, board change and resumption announcements, Mar 2025</t>
    </r>
    <r>
      <rPr>
        <u/>
        <sz val="11"/>
        <color theme="10"/>
        <rFont val="等线"/>
        <family val="3"/>
        <charset val="134"/>
        <scheme val="minor"/>
      </rPr>
      <t xml:space="preserve"> (HKEX filings)</t>
    </r>
  </si>
  <si>
    <r>
      <t>Greentown China, Profit Warning and 2025 Interim Results, Aug 2025</t>
    </r>
    <r>
      <rPr>
        <u/>
        <sz val="11"/>
        <color theme="10"/>
        <rFont val="等线"/>
        <family val="3"/>
        <charset val="134"/>
        <scheme val="minor"/>
      </rPr>
      <t xml:space="preserve"> (HKEX Interim Results, 22 Aug 2025)</t>
    </r>
  </si>
  <si>
    <r>
      <t>Morgan Stanley assessment, reported 27 Aug 2025</t>
    </r>
    <r>
      <rPr>
        <u/>
        <sz val="11"/>
        <color theme="10"/>
        <rFont val="等线"/>
        <family val="3"/>
        <charset val="134"/>
        <scheme val="minor"/>
      </rPr>
      <t xml:space="preserve"> (Investing.com)</t>
    </r>
  </si>
  <si>
    <r>
      <t>Greentown China, Profit Warning, 10 Mar 2026</t>
    </r>
    <r>
      <rPr>
        <u/>
        <sz val="11"/>
        <color theme="10"/>
        <rFont val="等线"/>
        <family val="3"/>
        <charset val="134"/>
        <scheme val="minor"/>
      </rPr>
      <t xml:space="preserve"> (HKEX filings)</t>
    </r>
  </si>
  <si>
    <r>
      <t>Greentown China, FY2025 Annual Results, 31 Mar 2026</t>
    </r>
    <r>
      <rPr>
        <u/>
        <sz val="11"/>
        <color theme="10"/>
        <rFont val="等线"/>
        <family val="3"/>
        <charset val="134"/>
        <scheme val="minor"/>
      </rPr>
      <t xml:space="preserve"> (Greentown Financial Highlights)</t>
    </r>
  </si>
  <si>
    <r>
      <t>Greentown China / HKEX, US$300m 7.0% Senior Notes due 2029, 13 May 2026</t>
    </r>
    <r>
      <rPr>
        <u/>
        <sz val="11"/>
        <color theme="10"/>
        <rFont val="等线"/>
        <family val="3"/>
        <charset val="134"/>
        <scheme val="minor"/>
      </rPr>
      <t xml:space="preserve"> (HKEX filings)</t>
    </r>
  </si>
  <si>
    <r>
      <t>Greentown China, Profit Warning, 10 Aug 2026</t>
    </r>
    <r>
      <rPr>
        <u/>
        <sz val="11"/>
        <color theme="10"/>
        <rFont val="等线"/>
        <family val="3"/>
        <charset val="134"/>
        <scheme val="minor"/>
      </rPr>
      <t xml:space="preserve"> (HKEX filings)</t>
    </r>
  </si>
  <si>
    <r>
      <t>Greentown China, 2026 Interim Results, 25 Aug 2026</t>
    </r>
    <r>
      <rPr>
        <u/>
        <sz val="11"/>
        <color theme="10"/>
        <rFont val="等线"/>
        <family val="3"/>
        <charset val="134"/>
        <scheme val="minor"/>
      </rPr>
      <t xml:space="preserve"> (Greentown/HKEX filing)</t>
    </r>
  </si>
  <si>
    <r>
      <t>−0.258</t>
    </r>
    <r>
      <rPr>
        <sz val="11"/>
        <color theme="1"/>
        <rFont val="等线"/>
        <family val="2"/>
        <charset val="134"/>
        <scheme val="minor"/>
      </rPr>
      <t xml:space="preserve"> on the event date → fell to sample low of </t>
    </r>
    <r>
      <rPr>
        <b/>
        <sz val="11"/>
        <color theme="1"/>
        <rFont val="等线"/>
        <family val="3"/>
        <charset val="134"/>
        <scheme val="minor"/>
      </rPr>
      <t>−0.452</t>
    </r>
    <r>
      <rPr>
        <sz val="11"/>
        <color theme="1"/>
        <rFont val="等线"/>
        <family val="2"/>
        <charset val="134"/>
        <scheme val="minor"/>
      </rPr>
      <t xml:space="preserve"> on 19 Apr</t>
    </r>
  </si>
  <si>
    <r>
      <t xml:space="preserve">Remained around </t>
    </r>
    <r>
      <rPr>
        <b/>
        <sz val="11"/>
        <color theme="1"/>
        <rFont val="等线"/>
        <family val="3"/>
        <charset val="134"/>
        <scheme val="minor"/>
      </rPr>
      <t>−0.25 to −0.30</t>
    </r>
    <r>
      <rPr>
        <sz val="11"/>
        <color theme="1"/>
        <rFont val="等线"/>
        <family val="2"/>
        <charset val="134"/>
        <scheme val="minor"/>
      </rPr>
      <t xml:space="preserve"> and fluctuated at low levels afterwards</t>
    </r>
  </si>
  <si>
    <r>
      <t xml:space="preserve">Fell from around </t>
    </r>
    <r>
      <rPr>
        <b/>
        <sz val="11"/>
        <color theme="1"/>
        <rFont val="等线"/>
        <family val="3"/>
        <charset val="134"/>
        <scheme val="minor"/>
      </rPr>
      <t>1.0</t>
    </r>
    <r>
      <rPr>
        <sz val="11"/>
        <color theme="1"/>
        <rFont val="等线"/>
        <family val="2"/>
        <charset val="134"/>
        <scheme val="minor"/>
      </rPr>
      <t xml:space="preserve"> before the announcements toward approximately </t>
    </r>
    <r>
      <rPr>
        <b/>
        <sz val="11"/>
        <color theme="1"/>
        <rFont val="等线"/>
        <family val="3"/>
        <charset val="134"/>
        <scheme val="minor"/>
      </rPr>
      <t>0.6</t>
    </r>
    <r>
      <rPr>
        <sz val="11"/>
        <color theme="1"/>
        <rFont val="等线"/>
        <family val="2"/>
        <charset val="134"/>
        <scheme val="minor"/>
      </rPr>
      <t xml:space="preserve"> by the interim results</t>
    </r>
  </si>
  <si>
    <r>
      <t>0.833</t>
    </r>
    <r>
      <rPr>
        <sz val="11"/>
        <color theme="1"/>
        <rFont val="等线"/>
        <family val="2"/>
        <charset val="134"/>
        <scheme val="minor"/>
      </rPr>
      <t xml:space="preserve"> on the profit-warning date → increased in the following weeks</t>
    </r>
  </si>
  <si>
    <r>
      <t>0.875</t>
    </r>
    <r>
      <rPr>
        <sz val="11"/>
        <color theme="1"/>
        <rFont val="等线"/>
        <family val="2"/>
        <charset val="134"/>
        <scheme val="minor"/>
      </rPr>
      <t xml:space="preserve"> on the results date → rose substantially to above </t>
    </r>
    <r>
      <rPr>
        <b/>
        <sz val="11"/>
        <color theme="1"/>
        <rFont val="等线"/>
        <family val="3"/>
        <charset val="134"/>
        <scheme val="minor"/>
      </rPr>
      <t>1.3</t>
    </r>
    <r>
      <rPr>
        <sz val="11"/>
        <color theme="1"/>
        <rFont val="等线"/>
        <family val="2"/>
        <charset val="134"/>
        <scheme val="minor"/>
      </rPr>
      <t xml:space="preserve"> in May</t>
    </r>
  </si>
  <si>
    <r>
      <t>1.346</t>
    </r>
    <r>
      <rPr>
        <sz val="11"/>
        <color theme="1"/>
        <rFont val="等线"/>
        <family val="2"/>
        <charset val="134"/>
        <scheme val="minor"/>
      </rPr>
      <t>, close to sample maximum → declined substantially in the following months</t>
    </r>
  </si>
  <si>
    <r>
      <t xml:space="preserve">Had already fallen substantially from the May peak → </t>
    </r>
    <r>
      <rPr>
        <b/>
        <sz val="11"/>
        <color theme="1"/>
        <rFont val="等线"/>
        <family val="3"/>
        <charset val="134"/>
        <scheme val="minor"/>
      </rPr>
      <t>0.628</t>
    </r>
    <r>
      <rPr>
        <sz val="11"/>
        <color theme="1"/>
        <rFont val="等线"/>
        <family val="2"/>
        <charset val="134"/>
        <scheme val="minor"/>
      </rPr>
      <t xml:space="preserve"> on the event date</t>
    </r>
  </si>
  <si>
    <t xml:space="preserve">Continued deterioration is consistent with worsening perceived credit risk. </t>
    <phoneticPr fontId="1" type="noConversion"/>
  </si>
  <si>
    <t>The response appears muted: the repurchases reduced refinancing pressure, but no clear sustained improvement followed.</t>
    <phoneticPr fontId="1" type="noConversion"/>
  </si>
  <si>
    <t>The subsequent improvement is broadly consistent with the relatively positive interim results.</t>
    <phoneticPr fontId="1" type="noConversion"/>
  </si>
  <si>
    <r>
      <rPr>
        <b/>
        <sz val="11"/>
        <color theme="1"/>
        <rFont val="等线"/>
        <family val="1"/>
        <charset val="134"/>
      </rPr>
      <t>−</t>
    </r>
    <r>
      <rPr>
        <b/>
        <sz val="11"/>
        <color theme="1"/>
        <rFont val="等线"/>
        <family val="3"/>
        <charset val="134"/>
      </rPr>
      <t>0.329</t>
    </r>
    <r>
      <rPr>
        <sz val="11"/>
        <color theme="1"/>
        <rFont val="等线"/>
        <family val="3"/>
        <charset val="134"/>
        <scheme val="minor"/>
      </rPr>
      <t xml:space="preserve"> on the event date → subsequently recovered materially</t>
    </r>
  </si>
  <si>
    <t xml:space="preserve">Broadly consistent with improved refinancing conditions. </t>
    <phoneticPr fontId="1" type="noConversion"/>
  </si>
  <si>
    <r>
      <t xml:space="preserve">Fell from approximately </t>
    </r>
    <r>
      <rPr>
        <b/>
        <sz val="11"/>
        <color theme="1"/>
        <rFont val="等线"/>
        <family val="3"/>
        <charset val="134"/>
        <scheme val="minor"/>
      </rPr>
      <t>0.560</t>
    </r>
    <r>
      <rPr>
        <sz val="11"/>
        <color theme="1"/>
        <rFont val="等线"/>
        <family val="2"/>
        <charset val="134"/>
        <scheme val="minor"/>
      </rPr>
      <t xml:space="preserve"> to </t>
    </r>
    <r>
      <rPr>
        <b/>
        <sz val="11"/>
        <color theme="1"/>
        <rFont val="等线"/>
        <family val="3"/>
        <charset val="134"/>
        <scheme val="minor"/>
      </rPr>
      <t>0.420</t>
    </r>
    <r>
      <rPr>
        <sz val="11"/>
        <color theme="1"/>
        <rFont val="等线"/>
        <family val="2"/>
        <charset val="134"/>
        <scheme val="minor"/>
      </rPr>
      <t xml:space="preserve"> → recovered quickly afterwards</t>
    </r>
    <phoneticPr fontId="1" type="noConversion"/>
  </si>
  <si>
    <t>The temporary decline coincides with the governance uncertainty, suggesting a short-lived negative market response.</t>
    <phoneticPr fontId="1" type="noConversion"/>
  </si>
  <si>
    <t>Broadly consistent with   deterioration.</t>
    <phoneticPr fontId="1" type="noConversion"/>
  </si>
  <si>
    <t>The earlier decline suggests that weaker market expectations may already have been incorporated before the formal downgrade.</t>
    <phoneticPr fontId="1" type="noConversion"/>
  </si>
  <si>
    <r>
      <t>0.677</t>
    </r>
    <r>
      <rPr>
        <sz val="11"/>
        <color theme="1"/>
        <rFont val="等线"/>
        <family val="2"/>
        <charset val="134"/>
        <scheme val="minor"/>
      </rPr>
      <t xml:space="preserve"> on the results date, already substantially below the May peak → no sharp additional deterioration around the results</t>
    </r>
    <phoneticPr fontId="1" type="noConversion"/>
  </si>
  <si>
    <r>
      <t xml:space="preserve">Had already fallen substantially before the downgrade → </t>
    </r>
    <r>
      <rPr>
        <b/>
        <sz val="11"/>
        <color theme="1"/>
        <rFont val="等线"/>
        <family val="3"/>
        <charset val="134"/>
        <scheme val="minor"/>
      </rPr>
      <t>0.536</t>
    </r>
    <r>
      <rPr>
        <sz val="11"/>
        <color theme="1"/>
        <rFont val="等线"/>
        <family val="2"/>
        <charset val="134"/>
        <scheme val="minor"/>
      </rPr>
      <t xml:space="preserve"> on 27 Aug→ no additional deterioration after the event</t>
    </r>
    <phoneticPr fontId="1" type="noConversion"/>
  </si>
  <si>
    <t>This is counter-intuitive relative to the deterioration in reported earnings. Other favorable market/model inputs may have dominated.</t>
    <phoneticPr fontId="1" type="noConversion"/>
  </si>
  <si>
    <t>The rising signal contrasts with the sharp deterioration in report.</t>
    <phoneticPr fontId="1" type="noConversion"/>
  </si>
  <si>
    <t>The high level at issuance is consistent with demonstrated access to financing, but the subsequent decline shows that the favorable credit signal was not sustained. May reflect other   deteriorating firm-specific or market conditions.</t>
    <phoneticPr fontId="1" type="noConversion"/>
  </si>
  <si>
    <t>The deterioration preceding the announcement suggests some anticipatory behaviour.</t>
    <phoneticPr fontId="1" type="noConversion"/>
  </si>
  <si>
    <t>Limited announcement-day response; much weakness had apparently already been incorporated</t>
    <phoneticPr fontId="1" type="noConversion"/>
  </si>
  <si>
    <t>CRI provided first two periods</t>
    <phoneticPr fontId="1" type="noConversion"/>
  </si>
  <si>
    <t>13–25 Feb 2025</t>
  </si>
  <si>
    <r>
      <rPr>
        <b/>
        <sz val="11"/>
        <color theme="1"/>
        <rFont val="等线"/>
        <family val="3"/>
        <charset val="134"/>
        <scheme val="minor"/>
      </rPr>
      <t>0.3</t>
    </r>
    <r>
      <rPr>
        <sz val="11"/>
        <color theme="1"/>
        <rFont val="等线"/>
        <family val="2"/>
        <charset val="134"/>
        <scheme val="minor"/>
      </rPr>
      <t xml:space="preserve"> during the refinancing event → generally strengthened afterwards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</si>
</sst>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  <font>
      <b/>
      <sz val="11"/>
      <color theme="1"/>
      <name val="等线"/>
      <family val="1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1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15" fontId="2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5" fontId="3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eentownchina.com/en/ir/finhigh.php?utm_source=chatgpt.com" TargetMode="External"/><Relationship Id="rId3" Type="http://schemas.openxmlformats.org/officeDocument/2006/relationships/hyperlink" Target="https://www1.hkexnews.hk/listedco/listconews/sehk/2025/0225/2025022500160.pdf?utm_source=chatgpt.com" TargetMode="External"/><Relationship Id="rId7" Type="http://schemas.openxmlformats.org/officeDocument/2006/relationships/hyperlink" Target="https://www1.hkexnews.hk/search/titlesearch.xhtml?category=0&amp;market=SEHK&amp;stockId=11833&amp;utm_source=chatgpt.com" TargetMode="External"/><Relationship Id="rId2" Type="http://schemas.openxmlformats.org/officeDocument/2006/relationships/hyperlink" Target="https://www.greentownchina.com/en/ir/announcements.php?year=2024&amp;utm_source=chatgpt.com" TargetMode="External"/><Relationship Id="rId1" Type="http://schemas.openxmlformats.org/officeDocument/2006/relationships/hyperlink" Target="https://www.greentownchina.com/en/ir/announcements.php?year=2024&amp;utm_source=chatgpt.com" TargetMode="External"/><Relationship Id="rId6" Type="http://schemas.openxmlformats.org/officeDocument/2006/relationships/hyperlink" Target="https://www.investing.com/news/analyst-ratings/morgan-stanley-downgrades-greentown-china-stock-on-slower-recovery-outlook-93CH-4212121?utm_source=chatgpt.com" TargetMode="External"/><Relationship Id="rId11" Type="http://schemas.openxmlformats.org/officeDocument/2006/relationships/hyperlink" Target="https://financialfilings.com/filings/greentown-china-holdings-limited/interim-quarterly-report/2026/57471607/?utm_source=chatgpt.com" TargetMode="External"/><Relationship Id="rId5" Type="http://schemas.openxmlformats.org/officeDocument/2006/relationships/hyperlink" Target="https://www.hkexnews.hk/listedco/listconews/sehk/2025/0822/2025082202016.pdf?utm_source=chatgpt.com" TargetMode="External"/><Relationship Id="rId10" Type="http://schemas.openxmlformats.org/officeDocument/2006/relationships/hyperlink" Target="https://www1.hkexnews.hk/search/titlesearch.xhtml?category=0&amp;market=SEHK&amp;stockId=11833&amp;utm_source=chatgpt.com" TargetMode="External"/><Relationship Id="rId4" Type="http://schemas.openxmlformats.org/officeDocument/2006/relationships/hyperlink" Target="https://www1.hkexnews.hk/search/titlesearch.xhtml?category=0&amp;lang=EN&amp;market=SEHK&amp;stockId=1000249049&amp;utm_source=chatgpt.com" TargetMode="External"/><Relationship Id="rId9" Type="http://schemas.openxmlformats.org/officeDocument/2006/relationships/hyperlink" Target="https://www1.hkexnews.hk/search/titlesearch.xhtml?category=0&amp;market=SEHK&amp;stockId=11833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A432-0713-467E-9313-30BA00A47359}">
  <dimension ref="A1:G24"/>
  <sheetViews>
    <sheetView workbookViewId="0">
      <selection activeCell="A2" sqref="A2"/>
    </sheetView>
  </sheetViews>
  <sheetFormatPr defaultRowHeight="14" x14ac:dyDescent="0.3"/>
  <cols>
    <col min="1" max="1" width="8.9140625" bestFit="1" customWidth="1"/>
    <col min="2" max="2" width="12.9140625" bestFit="1" customWidth="1"/>
    <col min="3" max="3" width="16.4140625" bestFit="1" customWidth="1"/>
    <col min="4" max="4" width="19.1640625" bestFit="1" customWidth="1"/>
    <col min="5" max="5" width="17.25" bestFit="1" customWidth="1"/>
    <col min="6" max="6" width="17.75" bestFit="1" customWidth="1"/>
  </cols>
  <sheetData>
    <row r="1" spans="1:7" x14ac:dyDescent="0.3">
      <c r="A1" t="s">
        <v>77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7" x14ac:dyDescent="0.3">
      <c r="A3">
        <v>23286</v>
      </c>
      <c r="B3">
        <v>20250328</v>
      </c>
      <c r="C3">
        <v>303791.43644357601</v>
      </c>
      <c r="D3">
        <v>112766.501094347</v>
      </c>
      <c r="E3">
        <v>419555.49219198298</v>
      </c>
      <c r="F3">
        <v>540308.25810935197</v>
      </c>
    </row>
    <row r="4" spans="1:7" x14ac:dyDescent="0.3">
      <c r="A4">
        <v>23286</v>
      </c>
      <c r="B4">
        <v>20250822</v>
      </c>
      <c r="C4">
        <v>303215.33850000001</v>
      </c>
      <c r="D4">
        <v>131735.0049</v>
      </c>
      <c r="E4">
        <v>436947.86920000002</v>
      </c>
      <c r="F4">
        <v>567688.05009999999</v>
      </c>
    </row>
    <row r="5" spans="1:7" x14ac:dyDescent="0.3">
      <c r="A5">
        <v>23286</v>
      </c>
      <c r="B5">
        <v>20260331</v>
      </c>
      <c r="C5">
        <v>259707.60200000001</v>
      </c>
      <c r="D5">
        <v>121306.19839999999</v>
      </c>
      <c r="E5">
        <v>382768.29499999998</v>
      </c>
      <c r="F5">
        <v>500346.14730000001</v>
      </c>
    </row>
    <row r="6" spans="1:7" x14ac:dyDescent="0.3">
      <c r="A6">
        <v>23286</v>
      </c>
      <c r="B6">
        <v>20260825</v>
      </c>
      <c r="C6">
        <v>270471.21799999999</v>
      </c>
      <c r="D6">
        <v>116419.417</v>
      </c>
      <c r="E6">
        <v>388902.34700000001</v>
      </c>
      <c r="F6">
        <v>513581.02750000003</v>
      </c>
    </row>
    <row r="10" spans="1:7" x14ac:dyDescent="0.3">
      <c r="A10" t="s">
        <v>6</v>
      </c>
      <c r="C10" t="s">
        <v>2</v>
      </c>
      <c r="D10" t="s">
        <v>3</v>
      </c>
      <c r="E10" t="s">
        <v>4</v>
      </c>
      <c r="F10" t="s">
        <v>5</v>
      </c>
      <c r="G10" t="s">
        <v>8</v>
      </c>
    </row>
    <row r="11" spans="1:7" x14ac:dyDescent="0.3">
      <c r="B11">
        <v>20250328</v>
      </c>
      <c r="C11">
        <v>285505028</v>
      </c>
      <c r="D11">
        <v>105978636</v>
      </c>
      <c r="E11">
        <v>394300788</v>
      </c>
      <c r="F11">
        <v>507784971</v>
      </c>
      <c r="G11">
        <v>0.94</v>
      </c>
    </row>
    <row r="12" spans="1:7" x14ac:dyDescent="0.3">
      <c r="B12">
        <v>20250822</v>
      </c>
      <c r="C12">
        <v>276736767</v>
      </c>
      <c r="D12">
        <v>120231125</v>
      </c>
      <c r="E12">
        <v>398790982</v>
      </c>
      <c r="F12">
        <v>518114149</v>
      </c>
      <c r="G12">
        <v>0.91259999999999997</v>
      </c>
    </row>
    <row r="13" spans="1:7" x14ac:dyDescent="0.3">
      <c r="B13">
        <v>20260331</v>
      </c>
      <c r="C13">
        <v>233503105</v>
      </c>
      <c r="D13">
        <v>109066403</v>
      </c>
      <c r="E13">
        <v>344146974</v>
      </c>
      <c r="F13">
        <v>449861221</v>
      </c>
      <c r="G13">
        <v>0.89910000000000001</v>
      </c>
    </row>
    <row r="14" spans="1:7" x14ac:dyDescent="0.3">
      <c r="B14">
        <v>20260825</v>
      </c>
      <c r="C14">
        <v>234282169</v>
      </c>
      <c r="D14">
        <v>100842499</v>
      </c>
      <c r="E14">
        <v>336867213</v>
      </c>
      <c r="F14">
        <v>444863886</v>
      </c>
      <c r="G14">
        <v>0.86619999999999997</v>
      </c>
    </row>
    <row r="16" spans="1:7" x14ac:dyDescent="0.3">
      <c r="A16" t="s">
        <v>7</v>
      </c>
      <c r="C16" t="s">
        <v>2</v>
      </c>
      <c r="D16" t="s">
        <v>3</v>
      </c>
      <c r="E16" t="s">
        <v>4</v>
      </c>
      <c r="F16" t="s">
        <v>5</v>
      </c>
    </row>
    <row r="17" spans="2:6" x14ac:dyDescent="0.3">
      <c r="B17">
        <v>20250328</v>
      </c>
      <c r="C17">
        <f>C11/$G11/1000</f>
        <v>303728.75319148938</v>
      </c>
      <c r="D17">
        <f t="shared" ref="D17:F17" si="0">D11/$G11/1000</f>
        <v>112743.22978723406</v>
      </c>
      <c r="E17">
        <f t="shared" si="0"/>
        <v>419468.92340425536</v>
      </c>
      <c r="F17">
        <f t="shared" si="0"/>
        <v>540196.77765957452</v>
      </c>
    </row>
    <row r="18" spans="2:6" x14ac:dyDescent="0.3">
      <c r="B18">
        <v>20250822</v>
      </c>
      <c r="C18">
        <f t="shared" ref="C18:F18" si="1">C12/$G12/1000</f>
        <v>303239.93754109141</v>
      </c>
      <c r="D18">
        <f t="shared" si="1"/>
        <v>131745.69910146834</v>
      </c>
      <c r="E18">
        <f t="shared" si="1"/>
        <v>436983.32456717076</v>
      </c>
      <c r="F18">
        <f t="shared" si="1"/>
        <v>567734.1102344949</v>
      </c>
    </row>
    <row r="19" spans="2:6" x14ac:dyDescent="0.3">
      <c r="B19">
        <v>20260331</v>
      </c>
      <c r="C19">
        <f t="shared" ref="C19:F19" si="2">C13/$G13/1000</f>
        <v>259707.60204649094</v>
      </c>
      <c r="D19">
        <f t="shared" si="2"/>
        <v>121306.19842064286</v>
      </c>
      <c r="E19">
        <f t="shared" si="2"/>
        <v>382768.29496162833</v>
      </c>
      <c r="F19">
        <f t="shared" si="2"/>
        <v>500346.14725836943</v>
      </c>
    </row>
    <row r="20" spans="2:6" x14ac:dyDescent="0.3">
      <c r="B20">
        <v>20260825</v>
      </c>
      <c r="C20">
        <f t="shared" ref="C20:F20" si="3">C14/$G14/1000</f>
        <v>270471.21796351881</v>
      </c>
      <c r="D20">
        <f t="shared" si="3"/>
        <v>116419.41699376587</v>
      </c>
      <c r="E20">
        <f t="shared" si="3"/>
        <v>388902.34703301784</v>
      </c>
      <c r="F20">
        <f t="shared" si="3"/>
        <v>513581.02747633343</v>
      </c>
    </row>
    <row r="23" spans="2:6" x14ac:dyDescent="0.3">
      <c r="C23">
        <f>C11/C3/1000</f>
        <v>0.93980604371982557</v>
      </c>
      <c r="D23">
        <f t="shared" ref="D23:E23" si="4">D11/D3/1000</f>
        <v>0.93980601483176396</v>
      </c>
      <c r="E23">
        <f t="shared" si="4"/>
        <v>0.93980604553633929</v>
      </c>
      <c r="F23">
        <f>F11/F3/1000</f>
        <v>0.93980605215408408</v>
      </c>
    </row>
    <row r="24" spans="2:6" x14ac:dyDescent="0.3">
      <c r="C24">
        <f>C12/C4/1000</f>
        <v>0.91267403677205461</v>
      </c>
      <c r="D24">
        <f t="shared" ref="D24:F24" si="5">D12/D4/1000</f>
        <v>0.91267408454774357</v>
      </c>
      <c r="E24">
        <f t="shared" si="5"/>
        <v>0.9126740513236492</v>
      </c>
      <c r="F24">
        <f t="shared" si="5"/>
        <v>0.91267404503006988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FA8C-694C-43F6-8DF2-3037B2544629}">
  <dimension ref="A1:G13"/>
  <sheetViews>
    <sheetView tabSelected="1" workbookViewId="0">
      <selection activeCell="F2" sqref="F2"/>
    </sheetView>
  </sheetViews>
  <sheetFormatPr defaultRowHeight="14" x14ac:dyDescent="0.3"/>
  <cols>
    <col min="1" max="1" width="3.1640625" bestFit="1" customWidth="1"/>
    <col min="2" max="2" width="10.58203125" bestFit="1" customWidth="1"/>
    <col min="3" max="3" width="27.4140625" customWidth="1"/>
    <col min="4" max="4" width="26.58203125" customWidth="1"/>
    <col min="5" max="5" width="24.25" bestFit="1" customWidth="1"/>
    <col min="6" max="6" width="29.5" customWidth="1"/>
    <col min="7" max="7" width="39.33203125" customWidth="1"/>
  </cols>
  <sheetData>
    <row r="1" spans="1:7" x14ac:dyDescent="0.3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7" t="s">
        <v>41</v>
      </c>
    </row>
    <row r="2" spans="1:7" ht="42" x14ac:dyDescent="0.3">
      <c r="A2" s="6">
        <v>1</v>
      </c>
      <c r="B2" s="2">
        <v>45373</v>
      </c>
      <c r="C2" s="3" t="s">
        <v>14</v>
      </c>
      <c r="D2" s="3" t="s">
        <v>15</v>
      </c>
      <c r="E2" s="4" t="s">
        <v>54</v>
      </c>
      <c r="F2" s="3" t="s">
        <v>61</v>
      </c>
      <c r="G2" s="8" t="s">
        <v>42</v>
      </c>
    </row>
    <row r="3" spans="1:7" ht="56" x14ac:dyDescent="0.3">
      <c r="A3" s="6">
        <v>2</v>
      </c>
      <c r="B3" s="4" t="s">
        <v>16</v>
      </c>
      <c r="C3" s="3" t="s">
        <v>17</v>
      </c>
      <c r="D3" s="3" t="s">
        <v>18</v>
      </c>
      <c r="E3" s="3" t="s">
        <v>55</v>
      </c>
      <c r="F3" s="3" t="s">
        <v>62</v>
      </c>
      <c r="G3" s="4" t="s">
        <v>43</v>
      </c>
    </row>
    <row r="4" spans="1:7" ht="42" x14ac:dyDescent="0.3">
      <c r="A4" s="6">
        <v>3</v>
      </c>
      <c r="B4" s="5">
        <v>45527</v>
      </c>
      <c r="C4" s="3" t="s">
        <v>19</v>
      </c>
      <c r="D4" s="3" t="s">
        <v>20</v>
      </c>
      <c r="E4" s="9" t="s">
        <v>64</v>
      </c>
      <c r="F4" s="3" t="s">
        <v>63</v>
      </c>
      <c r="G4" s="8" t="s">
        <v>44</v>
      </c>
    </row>
    <row r="5" spans="1:7" ht="70" x14ac:dyDescent="0.3">
      <c r="A5" s="6">
        <v>4</v>
      </c>
      <c r="B5" s="4" t="s">
        <v>78</v>
      </c>
      <c r="C5" s="3" t="s">
        <v>21</v>
      </c>
      <c r="D5" s="3" t="s">
        <v>22</v>
      </c>
      <c r="E5" s="10" t="s">
        <v>79</v>
      </c>
      <c r="F5" s="3" t="s">
        <v>65</v>
      </c>
      <c r="G5" s="8" t="s">
        <v>45</v>
      </c>
    </row>
    <row r="6" spans="1:7" ht="56" x14ac:dyDescent="0.3">
      <c r="A6" s="6">
        <v>5</v>
      </c>
      <c r="B6" s="4" t="s">
        <v>23</v>
      </c>
      <c r="C6" s="3" t="s">
        <v>24</v>
      </c>
      <c r="D6" s="3" t="s">
        <v>25</v>
      </c>
      <c r="E6" s="3" t="s">
        <v>66</v>
      </c>
      <c r="F6" s="3" t="s">
        <v>67</v>
      </c>
      <c r="G6" s="8" t="s">
        <v>46</v>
      </c>
    </row>
    <row r="7" spans="1:7" ht="70" x14ac:dyDescent="0.3">
      <c r="A7" s="6">
        <v>6</v>
      </c>
      <c r="B7" s="4" t="s">
        <v>26</v>
      </c>
      <c r="C7" s="3" t="s">
        <v>27</v>
      </c>
      <c r="D7" s="3" t="s">
        <v>28</v>
      </c>
      <c r="E7" s="3" t="s">
        <v>56</v>
      </c>
      <c r="F7" s="3" t="s">
        <v>68</v>
      </c>
      <c r="G7" s="8" t="s">
        <v>47</v>
      </c>
    </row>
    <row r="8" spans="1:7" ht="70" x14ac:dyDescent="0.3">
      <c r="A8" s="6">
        <v>7</v>
      </c>
      <c r="B8" s="5">
        <v>45896</v>
      </c>
      <c r="C8" s="3" t="s">
        <v>29</v>
      </c>
      <c r="D8" s="3" t="s">
        <v>30</v>
      </c>
      <c r="E8" s="3" t="s">
        <v>71</v>
      </c>
      <c r="F8" s="3" t="s">
        <v>69</v>
      </c>
      <c r="G8" s="8" t="s">
        <v>48</v>
      </c>
    </row>
    <row r="9" spans="1:7" ht="70" x14ac:dyDescent="0.3">
      <c r="A9" s="6">
        <v>8</v>
      </c>
      <c r="B9" s="5">
        <v>46091</v>
      </c>
      <c r="C9" s="3" t="s">
        <v>31</v>
      </c>
      <c r="D9" s="3" t="s">
        <v>32</v>
      </c>
      <c r="E9" s="4" t="s">
        <v>57</v>
      </c>
      <c r="F9" s="3" t="s">
        <v>72</v>
      </c>
      <c r="G9" s="8" t="s">
        <v>49</v>
      </c>
    </row>
    <row r="10" spans="1:7" ht="56" x14ac:dyDescent="0.3">
      <c r="A10" s="6">
        <v>9</v>
      </c>
      <c r="B10" s="5">
        <v>46112</v>
      </c>
      <c r="C10" s="3" t="s">
        <v>33</v>
      </c>
      <c r="D10" s="3" t="s">
        <v>34</v>
      </c>
      <c r="E10" s="4" t="s">
        <v>58</v>
      </c>
      <c r="F10" s="3" t="s">
        <v>73</v>
      </c>
      <c r="G10" s="8" t="s">
        <v>50</v>
      </c>
    </row>
    <row r="11" spans="1:7" ht="98" x14ac:dyDescent="0.3">
      <c r="A11" s="6">
        <v>10</v>
      </c>
      <c r="B11" s="5">
        <v>46155</v>
      </c>
      <c r="C11" s="3" t="s">
        <v>35</v>
      </c>
      <c r="D11" s="3" t="s">
        <v>36</v>
      </c>
      <c r="E11" s="4" t="s">
        <v>59</v>
      </c>
      <c r="F11" s="3" t="s">
        <v>74</v>
      </c>
      <c r="G11" s="8" t="s">
        <v>51</v>
      </c>
    </row>
    <row r="12" spans="1:7" ht="56" x14ac:dyDescent="0.3">
      <c r="A12" s="6">
        <v>11</v>
      </c>
      <c r="B12" s="5">
        <v>46244</v>
      </c>
      <c r="C12" s="3" t="s">
        <v>37</v>
      </c>
      <c r="D12" s="3" t="s">
        <v>38</v>
      </c>
      <c r="E12" s="3" t="s">
        <v>60</v>
      </c>
      <c r="F12" s="3" t="s">
        <v>75</v>
      </c>
      <c r="G12" s="8" t="s">
        <v>52</v>
      </c>
    </row>
    <row r="13" spans="1:7" ht="70" x14ac:dyDescent="0.3">
      <c r="A13" s="6">
        <v>12</v>
      </c>
      <c r="B13" s="5">
        <v>46259</v>
      </c>
      <c r="C13" s="3" t="s">
        <v>39</v>
      </c>
      <c r="D13" s="3" t="s">
        <v>40</v>
      </c>
      <c r="E13" s="4" t="s">
        <v>70</v>
      </c>
      <c r="F13" s="3" t="s">
        <v>76</v>
      </c>
      <c r="G13" s="8" t="s">
        <v>53</v>
      </c>
    </row>
  </sheetData>
  <phoneticPr fontId="1" type="noConversion"/>
  <hyperlinks>
    <hyperlink ref="G2" r:id="rId1" display="https://www.greentownchina.com/en/ir/announcements.php?year=2024&amp;utm_source=chatgpt.com" xr:uid="{6C930C92-6F52-40C0-8C97-5748F30BC6B2}"/>
    <hyperlink ref="G4" r:id="rId2" display="https://www.greentownchina.com/en/ir/announcements.php?year=2024&amp;utm_source=chatgpt.com" xr:uid="{8B6D0E09-08ED-4BD5-8F3C-68619BA364DC}"/>
    <hyperlink ref="G5" r:id="rId3" display="https://www1.hkexnews.hk/listedco/listconews/sehk/2025/0225/2025022500160.pdf?utm_source=chatgpt.com" xr:uid="{430992DB-5E10-4304-9847-30D561086AB8}"/>
    <hyperlink ref="G6" r:id="rId4" display="https://www1.hkexnews.hk/search/titlesearch.xhtml?category=0&amp;lang=EN&amp;market=SEHK&amp;stockId=1000249049&amp;utm_source=chatgpt.com" xr:uid="{E07744CB-7233-44D0-B033-27860A322B95}"/>
    <hyperlink ref="G7" r:id="rId5" display="https://www.hkexnews.hk/listedco/listconews/sehk/2025/0822/2025082202016.pdf?utm_source=chatgpt.com" xr:uid="{D12DB50F-47D9-4F15-8D7C-71936BBCB3D9}"/>
    <hyperlink ref="G8" r:id="rId6" display="https://www.investing.com/news/analyst-ratings/morgan-stanley-downgrades-greentown-china-stock-on-slower-recovery-outlook-93CH-4212121?utm_source=chatgpt.com" xr:uid="{CA9D9208-1A47-4C2E-B27D-C615877AC040}"/>
    <hyperlink ref="G9" r:id="rId7" display="https://www1.hkexnews.hk/search/titlesearch.xhtml?category=0&amp;market=SEHK&amp;stockId=11833&amp;utm_source=chatgpt.com" xr:uid="{BD5BDDD7-9B4F-475E-BFD2-1B374F0C21C5}"/>
    <hyperlink ref="G10" r:id="rId8" display="https://www.greentownchina.com/en/ir/finhigh.php?utm_source=chatgpt.com" xr:uid="{DF3A2399-F4AA-4294-8B92-8125A79E8A88}"/>
    <hyperlink ref="G11" r:id="rId9" display="https://www1.hkexnews.hk/search/titlesearch.xhtml?category=0&amp;market=SEHK&amp;stockId=11833&amp;utm_source=chatgpt.com" xr:uid="{21CAFCAD-2BF4-4EEA-99B7-0AD2C86AD12F}"/>
    <hyperlink ref="G12" r:id="rId10" display="https://www1.hkexnews.hk/search/titlesearch.xhtml?category=0&amp;market=SEHK&amp;stockId=11833&amp;utm_source=chatgpt.com" xr:uid="{FE144AD1-3DE8-4D25-AF45-1CC1316E5674}"/>
    <hyperlink ref="G13" r:id="rId11" display="https://financialfilings.com/filings/greentown-china-holdings-limited/interim-quarterly-report/2026/57471607/?utm_source=chatgpt.com" xr:uid="{9A566A29-617F-4DC4-90E3-4472E6A8C3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finantial_statement_check</vt:lpstr>
      <vt:lpstr>credit 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天予 戴</dc:creator>
  <cp:lastModifiedBy>天予 戴</cp:lastModifiedBy>
  <dcterms:created xsi:type="dcterms:W3CDTF">2026-10-04T04:29:17Z</dcterms:created>
  <dcterms:modified xsi:type="dcterms:W3CDTF">2026-10-04T15:41:00Z</dcterms:modified>
</cp:coreProperties>
</file>